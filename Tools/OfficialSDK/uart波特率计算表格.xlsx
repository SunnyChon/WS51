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05" windowHeight="10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<sst xmlns="http://schemas.openxmlformats.org/spreadsheetml/2006/main" count="10" uniqueCount="7">
  <si>
    <t>系统时钟16M</t>
  </si>
  <si>
    <t>T1值</t>
  </si>
  <si>
    <t>定时器1计满值</t>
  </si>
  <si>
    <t>smod=0，波特率为</t>
  </si>
  <si>
    <t>smod=1，波特率为</t>
  </si>
  <si>
    <t>T2值</t>
  </si>
  <si>
    <t>定时器2计满值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</si>
</sst>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10" fillId="20" borderId="2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333375</xdr:colOff>
      <xdr:row>3</xdr:row>
      <xdr:rowOff>152400</xdr:rowOff>
    </xdr:from>
    <xdr:to>
      <xdr:col>9</xdr:col>
      <xdr:colOff>466725</xdr:colOff>
      <xdr:row>16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77175" y="666750"/>
          <a:ext cx="819150" cy="2076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7"/>
  <sheetViews>
    <sheetView tabSelected="1" workbookViewId="0">
      <selection activeCell="F3" sqref="F3"/>
    </sheetView>
  </sheetViews>
  <sheetFormatPr defaultColWidth="9" defaultRowHeight="13.5"/>
  <cols>
    <col min="1" max="1" width="9" style="1"/>
    <col min="2" max="2" width="11.75" style="1" customWidth="1"/>
    <col min="3" max="3" width="8.5" style="1" customWidth="1"/>
    <col min="4" max="4" width="9.375" style="2"/>
    <col min="5" max="5" width="17.125" style="2" customWidth="1"/>
    <col min="6" max="7" width="17.125" style="3" customWidth="1"/>
    <col min="8" max="16383" width="9" style="1"/>
  </cols>
  <sheetData>
    <row r="1" s="1" customFormat="1" spans="2:7">
      <c r="B1" s="1" t="s">
        <v>0</v>
      </c>
      <c r="D1" s="4" t="s">
        <v>1</v>
      </c>
      <c r="E1" s="4" t="s">
        <v>2</v>
      </c>
      <c r="F1" s="5" t="s">
        <v>3</v>
      </c>
      <c r="G1" s="5" t="s">
        <v>4</v>
      </c>
    </row>
    <row r="2" s="1" customFormat="1" spans="3:7">
      <c r="C2" s="1">
        <v>256</v>
      </c>
      <c r="D2" s="4">
        <f t="shared" ref="D2:D7" si="0">C2-E2</f>
        <v>255</v>
      </c>
      <c r="E2" s="4">
        <v>1</v>
      </c>
      <c r="F2" s="5">
        <f>2^0*16000000/(32*12*E2)</f>
        <v>41666.6666666667</v>
      </c>
      <c r="G2" s="5">
        <f t="shared" ref="G2:G7" si="1">2^1*16000000/(32*12*E2)</f>
        <v>83333.3333333333</v>
      </c>
    </row>
    <row r="3" s="1" customFormat="1" spans="3:7">
      <c r="C3" s="1">
        <v>256</v>
      </c>
      <c r="D3" s="4">
        <f t="shared" si="0"/>
        <v>254</v>
      </c>
      <c r="E3" s="4">
        <v>2</v>
      </c>
      <c r="F3" s="5">
        <f t="shared" ref="F2:F7" si="2">2^0*16000000/(32*12*E3)</f>
        <v>20833.3333333333</v>
      </c>
      <c r="G3" s="5">
        <f t="shared" si="1"/>
        <v>41666.6666666667</v>
      </c>
    </row>
    <row r="4" s="1" customFormat="1" spans="3:7">
      <c r="C4" s="1">
        <v>256</v>
      </c>
      <c r="D4" s="4">
        <f t="shared" si="0"/>
        <v>253</v>
      </c>
      <c r="E4" s="4">
        <v>3</v>
      </c>
      <c r="F4" s="5">
        <f t="shared" si="2"/>
        <v>13888.8888888889</v>
      </c>
      <c r="G4" s="5">
        <f t="shared" si="1"/>
        <v>27777.7777777778</v>
      </c>
    </row>
    <row r="5" s="1" customFormat="1" spans="3:7">
      <c r="C5" s="1">
        <v>256</v>
      </c>
      <c r="D5" s="4">
        <f t="shared" si="0"/>
        <v>252</v>
      </c>
      <c r="E5" s="4">
        <v>4</v>
      </c>
      <c r="F5" s="5">
        <f t="shared" si="2"/>
        <v>10416.6666666667</v>
      </c>
      <c r="G5" s="5">
        <f t="shared" si="1"/>
        <v>20833.3333333333</v>
      </c>
    </row>
    <row r="6" s="1" customFormat="1" spans="3:7">
      <c r="C6" s="1">
        <v>256</v>
      </c>
      <c r="D6" s="4">
        <f t="shared" si="0"/>
        <v>251</v>
      </c>
      <c r="E6" s="4">
        <v>5</v>
      </c>
      <c r="F6" s="5">
        <f t="shared" si="2"/>
        <v>8333.33333333333</v>
      </c>
      <c r="G6" s="5">
        <f t="shared" si="1"/>
        <v>16666.6666666667</v>
      </c>
    </row>
    <row r="7" s="1" customFormat="1" spans="3:7">
      <c r="C7" s="1">
        <v>256</v>
      </c>
      <c r="D7" s="4">
        <f t="shared" si="0"/>
        <v>250</v>
      </c>
      <c r="E7" s="4">
        <v>6</v>
      </c>
      <c r="F7" s="5">
        <f t="shared" si="2"/>
        <v>6944.44444444444</v>
      </c>
      <c r="G7" s="5">
        <f t="shared" si="1"/>
        <v>13888.8888888889</v>
      </c>
    </row>
    <row r="8" s="1" customFormat="1" spans="4:7">
      <c r="D8" s="2"/>
      <c r="E8" s="2"/>
      <c r="F8" s="3"/>
      <c r="G8" s="3"/>
    </row>
    <row r="9" s="1" customFormat="1" spans="4:7">
      <c r="D9" s="2"/>
      <c r="E9" s="2"/>
      <c r="F9" s="3"/>
      <c r="G9" s="3"/>
    </row>
    <row r="10" s="1" customFormat="1" spans="4:7">
      <c r="D10" s="2"/>
      <c r="E10" s="2"/>
      <c r="F10" s="3"/>
      <c r="G10" s="3"/>
    </row>
    <row r="11" s="1" customFormat="1" spans="4:7">
      <c r="D11" s="2"/>
      <c r="E11" s="2"/>
      <c r="F11" s="3"/>
      <c r="G11" s="3"/>
    </row>
    <row r="12" s="1" customFormat="1" spans="4:7">
      <c r="D12" s="2"/>
      <c r="E12" s="2"/>
      <c r="F12" s="3"/>
      <c r="G12" s="3"/>
    </row>
    <row r="13" s="1" customFormat="1" spans="4:7">
      <c r="D13" s="2"/>
      <c r="E13" s="2"/>
      <c r="F13" s="3"/>
      <c r="G13" s="3"/>
    </row>
    <row r="14" s="1" customFormat="1" spans="4:7">
      <c r="D14" s="2"/>
      <c r="E14" s="2"/>
      <c r="F14" s="3"/>
      <c r="G14" s="3"/>
    </row>
    <row r="15" s="1" customFormat="1" spans="2:7">
      <c r="B15" s="1" t="s">
        <v>0</v>
      </c>
      <c r="D15" s="4" t="s">
        <v>5</v>
      </c>
      <c r="E15" s="4" t="s">
        <v>6</v>
      </c>
      <c r="F15" s="5" t="s">
        <v>3</v>
      </c>
      <c r="G15" s="5" t="s">
        <v>4</v>
      </c>
    </row>
    <row r="16" s="1" customFormat="1" spans="3:7">
      <c r="C16" s="1">
        <v>65536</v>
      </c>
      <c r="D16" s="4">
        <f>C16-E16</f>
        <v>65526</v>
      </c>
      <c r="E16" s="4">
        <v>10</v>
      </c>
      <c r="F16" s="5">
        <f t="shared" ref="F16:F79" si="3">2^0*16000000/(32*E16)</f>
        <v>50000</v>
      </c>
      <c r="G16" s="5">
        <f t="shared" ref="G16:G79" si="4">2^1*16000000/(32*E16)</f>
        <v>100000</v>
      </c>
    </row>
    <row r="17" s="1" customFormat="1" spans="3:7">
      <c r="C17" s="1">
        <v>65536</v>
      </c>
      <c r="D17" s="4">
        <f t="shared" ref="D17:D27" si="5">C17-E17</f>
        <v>65516</v>
      </c>
      <c r="E17" s="4">
        <v>20</v>
      </c>
      <c r="F17" s="5">
        <f t="shared" si="3"/>
        <v>25000</v>
      </c>
      <c r="G17" s="5">
        <f t="shared" si="4"/>
        <v>50000</v>
      </c>
    </row>
    <row r="18" s="1" customFormat="1" spans="3:12">
      <c r="C18" s="1">
        <v>65536</v>
      </c>
      <c r="D18" s="4">
        <f t="shared" si="5"/>
        <v>65506</v>
      </c>
      <c r="E18" s="4">
        <v>30</v>
      </c>
      <c r="F18" s="5">
        <f t="shared" si="3"/>
        <v>16666.6666666667</v>
      </c>
      <c r="G18" s="5">
        <f t="shared" si="4"/>
        <v>33333.3333333333</v>
      </c>
      <c r="K18" s="6"/>
      <c r="L18" s="6"/>
    </row>
    <row r="19" s="1" customFormat="1" spans="3:12">
      <c r="C19" s="1">
        <v>65536</v>
      </c>
      <c r="D19" s="4">
        <f t="shared" si="5"/>
        <v>65496</v>
      </c>
      <c r="E19" s="4">
        <v>40</v>
      </c>
      <c r="F19" s="5">
        <f t="shared" si="3"/>
        <v>12500</v>
      </c>
      <c r="G19" s="5">
        <f t="shared" si="4"/>
        <v>25000</v>
      </c>
      <c r="K19" s="6"/>
      <c r="L19" s="6"/>
    </row>
    <row r="20" s="1" customFormat="1" spans="3:12">
      <c r="C20" s="1">
        <v>65536</v>
      </c>
      <c r="D20" s="4">
        <f t="shared" si="5"/>
        <v>65486</v>
      </c>
      <c r="E20" s="4">
        <v>50</v>
      </c>
      <c r="F20" s="5">
        <f t="shared" si="3"/>
        <v>10000</v>
      </c>
      <c r="G20" s="5">
        <f t="shared" si="4"/>
        <v>20000</v>
      </c>
      <c r="K20" s="6"/>
      <c r="L20" s="6"/>
    </row>
    <row r="21" s="1" customFormat="1" spans="3:12">
      <c r="C21" s="1">
        <v>65536</v>
      </c>
      <c r="D21" s="4">
        <f t="shared" si="5"/>
        <v>65476</v>
      </c>
      <c r="E21" s="4">
        <v>60</v>
      </c>
      <c r="F21" s="5">
        <f t="shared" si="3"/>
        <v>8333.33333333333</v>
      </c>
      <c r="G21" s="5">
        <f t="shared" si="4"/>
        <v>16666.6666666667</v>
      </c>
      <c r="K21" s="6"/>
      <c r="L21" s="6"/>
    </row>
    <row r="22" s="1" customFormat="1" spans="3:12">
      <c r="C22" s="1">
        <v>65536</v>
      </c>
      <c r="D22" s="4">
        <f t="shared" si="5"/>
        <v>65466</v>
      </c>
      <c r="E22" s="4">
        <v>70</v>
      </c>
      <c r="F22" s="5">
        <f t="shared" si="3"/>
        <v>7142.85714285714</v>
      </c>
      <c r="G22" s="5">
        <f t="shared" si="4"/>
        <v>14285.7142857143</v>
      </c>
      <c r="K22" s="6"/>
      <c r="L22" s="6"/>
    </row>
    <row r="23" s="1" customFormat="1" spans="3:12">
      <c r="C23" s="1">
        <v>65536</v>
      </c>
      <c r="D23" s="4">
        <f t="shared" si="5"/>
        <v>65456</v>
      </c>
      <c r="E23" s="4">
        <v>80</v>
      </c>
      <c r="F23" s="5">
        <f t="shared" si="3"/>
        <v>6250</v>
      </c>
      <c r="G23" s="5">
        <f t="shared" si="4"/>
        <v>12500</v>
      </c>
      <c r="K23" s="6"/>
      <c r="L23" s="6"/>
    </row>
    <row r="24" s="1" customFormat="1" spans="3:12">
      <c r="C24" s="1">
        <v>65536</v>
      </c>
      <c r="D24" s="4">
        <f t="shared" si="5"/>
        <v>65446</v>
      </c>
      <c r="E24" s="4">
        <v>90</v>
      </c>
      <c r="F24" s="5">
        <f t="shared" si="3"/>
        <v>5555.55555555556</v>
      </c>
      <c r="G24" s="5">
        <f t="shared" si="4"/>
        <v>11111.1111111111</v>
      </c>
      <c r="K24" s="6"/>
      <c r="L24" s="6"/>
    </row>
    <row r="25" s="1" customFormat="1" spans="3:12">
      <c r="C25" s="1">
        <v>65536</v>
      </c>
      <c r="D25" s="4">
        <f t="shared" si="5"/>
        <v>65436</v>
      </c>
      <c r="E25" s="4">
        <v>100</v>
      </c>
      <c r="F25" s="5">
        <f t="shared" si="3"/>
        <v>5000</v>
      </c>
      <c r="G25" s="5">
        <f t="shared" si="4"/>
        <v>10000</v>
      </c>
      <c r="K25" s="6"/>
      <c r="L25" s="6"/>
    </row>
    <row r="26" s="1" customFormat="1" spans="3:7">
      <c r="C26" s="1">
        <v>65536</v>
      </c>
      <c r="D26" s="4">
        <f t="shared" si="5"/>
        <v>65426</v>
      </c>
      <c r="E26" s="4">
        <v>110</v>
      </c>
      <c r="F26" s="5">
        <f t="shared" si="3"/>
        <v>4545.45454545455</v>
      </c>
      <c r="G26" s="5">
        <f t="shared" si="4"/>
        <v>9090.90909090909</v>
      </c>
    </row>
    <row r="27" s="1" customFormat="1" spans="3:7">
      <c r="C27" s="1">
        <v>65536</v>
      </c>
      <c r="D27" s="4">
        <f t="shared" si="5"/>
        <v>65416</v>
      </c>
      <c r="E27" s="4">
        <v>120</v>
      </c>
      <c r="F27" s="5">
        <f t="shared" si="3"/>
        <v>4166.66666666667</v>
      </c>
      <c r="G27" s="5">
        <f t="shared" si="4"/>
        <v>8333.33333333333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wisesun</dc:creator>
  <cp:lastModifiedBy>wisesun</cp:lastModifiedBy>
  <dcterms:created xsi:type="dcterms:W3CDTF">2020-04-08T06:34:00Z</dcterms:created>
  <dcterms:modified xsi:type="dcterms:W3CDTF">2020-07-02T02:43:26Z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